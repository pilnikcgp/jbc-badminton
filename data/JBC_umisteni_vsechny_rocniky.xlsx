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jicbrno-my.sharepoint.com/personal/pilny_jic_cz/Documents/#br pracovní/Různé/JIC Badminton Cup/"/>
    </mc:Choice>
  </mc:AlternateContent>
  <xr:revisionPtr revIDLastSave="255" documentId="11_AD4D80C4656A4B7AC02E74BCCB9B69DC5ADEDD97" xr6:coauthVersionLast="47" xr6:coauthVersionMax="47" xr10:uidLastSave="{8E408130-3AC3-40F7-A72D-CA42C40C1E5A}"/>
  <bookViews>
    <workbookView xWindow="-108" yWindow="-108" windowWidth="34776" windowHeight="21096" xr2:uid="{00000000-000D-0000-FFFF-FFFF00000000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1" l="1" a="1"/>
  <c r="J7" i="1" s="1"/>
  <c r="J42" i="1" a="1"/>
  <c r="J42" i="1" s="1"/>
  <c r="J41" i="1" a="1"/>
  <c r="J41" i="1" s="1"/>
  <c r="J40" i="1" a="1"/>
  <c r="J40" i="1" s="1"/>
  <c r="J39" i="1" a="1"/>
  <c r="J39" i="1" s="1"/>
  <c r="J38" i="1" a="1"/>
  <c r="J38" i="1" s="1"/>
  <c r="J37" i="1" a="1"/>
  <c r="J37" i="1" s="1"/>
  <c r="J36" i="1" a="1"/>
  <c r="J36" i="1" s="1"/>
  <c r="J35" i="1" a="1"/>
  <c r="J35" i="1" s="1"/>
  <c r="J34" i="1" a="1"/>
  <c r="J34" i="1" s="1"/>
  <c r="J33" i="1" a="1"/>
  <c r="J33" i="1" s="1"/>
  <c r="J32" i="1" a="1"/>
  <c r="J32" i="1" s="1"/>
  <c r="J31" i="1" a="1"/>
  <c r="J31" i="1" s="1"/>
  <c r="J30" i="1" a="1"/>
  <c r="J30" i="1" s="1"/>
  <c r="J29" i="1" a="1"/>
  <c r="J29" i="1" s="1"/>
  <c r="J28" i="1" a="1"/>
  <c r="J28" i="1" s="1"/>
  <c r="J27" i="1" a="1"/>
  <c r="J27" i="1" s="1"/>
  <c r="J26" i="1" a="1"/>
  <c r="J26" i="1" s="1"/>
  <c r="J25" i="1" a="1"/>
  <c r="J25" i="1" s="1"/>
  <c r="J24" i="1" a="1"/>
  <c r="J24" i="1" s="1"/>
  <c r="J23" i="1" a="1"/>
  <c r="J23" i="1" s="1"/>
  <c r="J22" i="1" a="1"/>
  <c r="J22" i="1" s="1"/>
  <c r="J21" i="1" a="1"/>
  <c r="J21" i="1" s="1"/>
  <c r="J20" i="1" a="1"/>
  <c r="J20" i="1" s="1"/>
  <c r="J19" i="1" a="1"/>
  <c r="J19" i="1" s="1"/>
  <c r="J18" i="1" a="1"/>
  <c r="J18" i="1" s="1"/>
  <c r="J17" i="1" a="1"/>
  <c r="J17" i="1" s="1"/>
  <c r="J16" i="1" a="1"/>
  <c r="J16" i="1" s="1"/>
  <c r="J15" i="1" a="1"/>
  <c r="J15" i="1" s="1"/>
  <c r="J14" i="1" a="1"/>
  <c r="J14" i="1" s="1"/>
  <c r="J13" i="1" a="1"/>
  <c r="J13" i="1" s="1"/>
  <c r="J12" i="1" a="1"/>
  <c r="J12" i="1" s="1"/>
  <c r="J11" i="1" a="1"/>
  <c r="J11" i="1" s="1"/>
  <c r="J9" i="1" a="1"/>
  <c r="J9" i="1" s="1"/>
  <c r="J8" i="1" a="1"/>
  <c r="J8" i="1" s="1"/>
  <c r="J10" i="1" a="1"/>
  <c r="J10" i="1" s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<sst xmlns="http://schemas.openxmlformats.org/spreadsheetml/2006/main" count="41" uniqueCount="41">
  <si>
    <t>Ročník</t>
  </si>
  <si>
    <t>Počet týmů</t>
  </si>
  <si>
    <t>Robert Kurečka</t>
  </si>
  <si>
    <t>Jiří Vala</t>
  </si>
  <si>
    <t>Michal Veselý</t>
  </si>
  <si>
    <t>Jaroslav Pilný</t>
  </si>
  <si>
    <t>Samuel Pacek</t>
  </si>
  <si>
    <t>Petr Dostál</t>
  </si>
  <si>
    <t>Lukáš Musil</t>
  </si>
  <si>
    <t>Lukáš Wiesner</t>
  </si>
  <si>
    <t>Michaela Šmídková</t>
  </si>
  <si>
    <t>Adéla Drnovská</t>
  </si>
  <si>
    <t>Lucie Kanioková</t>
  </si>
  <si>
    <t>Jiří Zhoř</t>
  </si>
  <si>
    <t>Libor Hoření</t>
  </si>
  <si>
    <t>Anna Římánková</t>
  </si>
  <si>
    <t>Milan Linkesch</t>
  </si>
  <si>
    <t>Alžběta Steiner</t>
  </si>
  <si>
    <t>Martina Michlovská</t>
  </si>
  <si>
    <t>Michaela Sagitariová</t>
  </si>
  <si>
    <t>Zuzana Vintrová</t>
  </si>
  <si>
    <t>Pavla Olbrzymková</t>
  </si>
  <si>
    <t>Karoline Wunschová</t>
  </si>
  <si>
    <t>Veronika Mašínová</t>
  </si>
  <si>
    <t>Jiří Tobola</t>
  </si>
  <si>
    <t>Milad Abassi</t>
  </si>
  <si>
    <t>Martin Gillár</t>
  </si>
  <si>
    <t>Radka Novák</t>
  </si>
  <si>
    <t>Romana Putnová</t>
  </si>
  <si>
    <t>Jana Švecová</t>
  </si>
  <si>
    <t>Kristina Unčovská</t>
  </si>
  <si>
    <t>Olga Denemarková</t>
  </si>
  <si>
    <t>Hana Klicnar</t>
  </si>
  <si>
    <t>Lukáš Veselý</t>
  </si>
  <si>
    <t>Katarína Adámková</t>
  </si>
  <si>
    <t>Alexandra Bendová</t>
  </si>
  <si>
    <t>Eliška Matějová</t>
  </si>
  <si>
    <t>Martin Křivánek</t>
  </si>
  <si>
    <t>Počet účastí</t>
  </si>
  <si>
    <t>Jméno hráčky/hráče</t>
  </si>
  <si>
    <t>Průměrná úspěšnost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</si>
</sst>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</cellStyleXfs>
  <cellXfs count="4">
    <xf numFmtId="0" fontId="0" fillId="0" borderId="0" xfId="0"/>
    <xf numFmtId="0" fontId="3" fillId="0" borderId="0" xfId="0" applyFont="1"/>
    <xf numFmtId="0" fontId="2" fillId="0" borderId="1" xfId="2"/>
    <xf numFmtId="9" fontId="0" fillId="0" borderId="0" xfId="1" applyFont="1"/>
  </cellXfs>
  <cellStyles count="3">
    <cellStyle name="Nadpis 3" xfId="2" builtinId="18"/>
    <cellStyle name="Normální" xfId="0" builtinId="0"/>
    <cellStyle name="Procenta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H5:Q42"/>
  <sheetViews>
    <sheetView tabSelected="1" workbookViewId="0">
      <selection activeCell="J42" sqref="J42"/>
    </sheetView>
  </sheetViews>
  <sheetFormatPr defaultRowHeight="15" x14ac:dyDescent="0.25"/>
  <cols>
    <col min="8" max="8" width="19.42578125" bestFit="1" customWidth="1"/>
    <col min="9" max="9" width="11.42578125" bestFit="1" customWidth="1"/>
    <col min="10" max="10" width="19.42578125" bestFit="1" customWidth="1"/>
    <col min="11" max="11" width="19.42578125" customWidth="1"/>
    <col min="12" max="12" width="11" bestFit="1" customWidth="1"/>
    <col min="21" max="21" width="11" bestFit="1" customWidth="1"/>
  </cols>
  <sheetData>
    <row r="5" spans="8:17" ht="15.75" thickBot="1" x14ac:dyDescent="0.3">
      <c r="L5" s="2" t="s">
        <v>0</v>
      </c>
      <c r="M5" s="2">
        <v>2022</v>
      </c>
      <c r="N5" s="2">
        <v>2023</v>
      </c>
      <c r="O5" s="2">
        <v>2024</v>
      </c>
      <c r="P5" s="2">
        <v>2025</v>
      </c>
      <c r="Q5" s="2">
        <v>2026</v>
      </c>
    </row>
    <row r="6" spans="8:17" x14ac:dyDescent="0.25">
      <c r="H6" s="1" t="s">
        <v>39</v>
      </c>
      <c r="I6" s="1" t="s">
        <v>38</v>
      </c>
      <c r="J6" s="1" t="s">
        <v>40</v>
      </c>
      <c r="K6" s="1"/>
      <c r="L6" s="1" t="s">
        <v>1</v>
      </c>
      <c r="M6" s="1">
        <v>6</v>
      </c>
      <c r="N6" s="1">
        <v>6</v>
      </c>
      <c r="O6" s="1">
        <v>10</v>
      </c>
      <c r="P6" s="1">
        <v>8</v>
      </c>
      <c r="Q6" s="1">
        <v>8</v>
      </c>
    </row>
    <row r="7" spans="8:17" x14ac:dyDescent="0.25">
      <c r="H7" t="s">
        <v>11</v>
      </c>
      <c r="I7">
        <f>COUNT(M7:Q7)</f>
        <v>2</v>
      </c>
      <c r="J7" s="3" cm="1">
        <f t="array" ref="J7">AVERAGE(IF(M7:Q7&lt;&gt;"",1-(M7:Q7-1)/(M$6:Q$6-1)))</f>
        <v>0.41428571428571431</v>
      </c>
      <c r="K7" s="3"/>
      <c r="N7">
        <v>4</v>
      </c>
      <c r="P7">
        <v>5</v>
      </c>
    </row>
    <row r="8" spans="8:17" x14ac:dyDescent="0.25">
      <c r="H8" t="s">
        <v>35</v>
      </c>
      <c r="I8">
        <f t="shared" ref="I8:I42" si="0">COUNT(M8:Q8)</f>
        <v>2</v>
      </c>
      <c r="J8" s="3" cm="1">
        <f t="array" ref="J8">AVERAGE(IF(M8:Q8&lt;&gt;"",1-(M8:Q8-1)/(M$6:Q$6-1)))</f>
        <v>0.77777777777777779</v>
      </c>
      <c r="K8" s="3"/>
      <c r="O8">
        <v>5</v>
      </c>
      <c r="P8">
        <v>1</v>
      </c>
    </row>
    <row r="9" spans="8:17" x14ac:dyDescent="0.25">
      <c r="H9" t="s">
        <v>17</v>
      </c>
      <c r="I9">
        <f t="shared" si="0"/>
        <v>1</v>
      </c>
      <c r="J9" s="3" cm="1">
        <f t="array" ref="J9">AVERAGE(IF(M9:Q9&lt;&gt;"",1-(M9:Q9-1)/(M$6:Q$6-1)))</f>
        <v>0</v>
      </c>
      <c r="K9" s="3"/>
      <c r="O9">
        <v>10</v>
      </c>
    </row>
    <row r="10" spans="8:17" x14ac:dyDescent="0.25">
      <c r="H10" t="s">
        <v>15</v>
      </c>
      <c r="I10">
        <f t="shared" si="0"/>
        <v>2</v>
      </c>
      <c r="J10" s="3" cm="1">
        <f t="array" ref="J10">AVERAGE(IF(M10:Q10&lt;&gt;"",1-(M10:Q10-1)/(M$6:Q$6-1)))</f>
        <v>0.85714285714285721</v>
      </c>
      <c r="K10" s="3"/>
      <c r="O10">
        <v>1</v>
      </c>
      <c r="P10">
        <v>3</v>
      </c>
    </row>
    <row r="11" spans="8:17" x14ac:dyDescent="0.25">
      <c r="H11" t="s">
        <v>36</v>
      </c>
      <c r="I11">
        <f t="shared" si="0"/>
        <v>1</v>
      </c>
      <c r="J11" s="3" cm="1">
        <f t="array" ref="J11">AVERAGE(IF(M11:Q11&lt;&gt;"",1-(M11:Q11-1)/(M$6:Q$6-1)))</f>
        <v>0.33333333333333337</v>
      </c>
      <c r="K11" s="3"/>
      <c r="O11">
        <v>7</v>
      </c>
    </row>
    <row r="12" spans="8:17" x14ac:dyDescent="0.25">
      <c r="H12" t="s">
        <v>32</v>
      </c>
      <c r="I12">
        <f t="shared" si="0"/>
        <v>1</v>
      </c>
      <c r="J12" s="3" cm="1">
        <f t="array" ref="J12">AVERAGE(IF(M12:Q12&lt;&gt;"",1-(M12:Q12-1)/(M$6:Q$6-1)))</f>
        <v>0.44444444444444442</v>
      </c>
      <c r="K12" s="3"/>
      <c r="O12">
        <v>6</v>
      </c>
    </row>
    <row r="13" spans="8:17" x14ac:dyDescent="0.25">
      <c r="H13" t="s">
        <v>29</v>
      </c>
      <c r="I13">
        <f t="shared" si="0"/>
        <v>2</v>
      </c>
      <c r="J13" s="3" cm="1">
        <f t="array" ref="J13">AVERAGE(IF(M13:Q13&lt;&gt;"",1-(M13:Q13-1)/(M$6:Q$6-1)))</f>
        <v>0.21111111111111108</v>
      </c>
      <c r="K13" s="3"/>
      <c r="N13">
        <v>5</v>
      </c>
      <c r="O13">
        <v>8</v>
      </c>
    </row>
    <row r="14" spans="8:17" x14ac:dyDescent="0.25">
      <c r="H14" t="s">
        <v>5</v>
      </c>
      <c r="I14">
        <f t="shared" si="0"/>
        <v>5</v>
      </c>
      <c r="J14" s="3" cm="1">
        <f t="array" ref="J14">AVERAGE(IF(M14:Q14&lt;&gt;"",1-(M14:Q14-1)/(M$6:Q$6-1)))</f>
        <v>0.47047619047619049</v>
      </c>
      <c r="K14" s="3"/>
      <c r="M14">
        <v>4</v>
      </c>
      <c r="N14">
        <v>6</v>
      </c>
      <c r="O14">
        <v>4</v>
      </c>
      <c r="P14">
        <v>6</v>
      </c>
      <c r="Q14">
        <v>1</v>
      </c>
    </row>
    <row r="15" spans="8:17" x14ac:dyDescent="0.25">
      <c r="H15" t="s">
        <v>24</v>
      </c>
      <c r="I15">
        <f t="shared" si="0"/>
        <v>3</v>
      </c>
      <c r="J15" s="3" cm="1">
        <f t="array" ref="J15">AVERAGE(IF(M15:Q15&lt;&gt;"",1-(M15:Q15-1)/(M$6:Q$6-1)))</f>
        <v>0.37037037037037041</v>
      </c>
      <c r="K15" s="3"/>
      <c r="M15">
        <v>1</v>
      </c>
      <c r="N15">
        <v>6</v>
      </c>
      <c r="O15">
        <v>9</v>
      </c>
    </row>
    <row r="16" spans="8:17" x14ac:dyDescent="0.25">
      <c r="H16" t="s">
        <v>3</v>
      </c>
      <c r="I16">
        <f t="shared" si="0"/>
        <v>4</v>
      </c>
      <c r="J16" s="3" cm="1">
        <f t="array" ref="J16">AVERAGE(IF(M16:Q16&lt;&gt;"",1-(M16:Q16-1)/(M$6:Q$6-1)))</f>
        <v>0.696031746031746</v>
      </c>
      <c r="K16" s="3"/>
      <c r="N16">
        <v>2</v>
      </c>
      <c r="O16">
        <v>5</v>
      </c>
      <c r="P16">
        <v>2</v>
      </c>
      <c r="Q16">
        <v>4</v>
      </c>
    </row>
    <row r="17" spans="8:17" x14ac:dyDescent="0.25">
      <c r="H17" t="s">
        <v>13</v>
      </c>
      <c r="I17">
        <f t="shared" si="0"/>
        <v>3</v>
      </c>
      <c r="J17" s="3" cm="1">
        <f t="array" ref="J17">AVERAGE(IF(M17:Q17&lt;&gt;"",1-(M17:Q17-1)/(M$6:Q$6-1)))</f>
        <v>0.73333333333333339</v>
      </c>
      <c r="K17" s="3"/>
      <c r="N17">
        <v>5</v>
      </c>
      <c r="O17">
        <v>1</v>
      </c>
      <c r="P17">
        <v>1</v>
      </c>
    </row>
    <row r="18" spans="8:17" x14ac:dyDescent="0.25">
      <c r="H18" t="s">
        <v>22</v>
      </c>
      <c r="I18">
        <f t="shared" si="0"/>
        <v>2</v>
      </c>
      <c r="J18" s="3" cm="1">
        <f t="array" ref="J18">AVERAGE(IF(M18:Q18&lt;&gt;"",1-(M18:Q18-1)/(M$6:Q$6-1)))</f>
        <v>0.14285714285714285</v>
      </c>
      <c r="K18" s="3"/>
      <c r="P18">
        <v>6</v>
      </c>
      <c r="Q18">
        <v>8</v>
      </c>
    </row>
    <row r="19" spans="8:17" x14ac:dyDescent="0.25">
      <c r="H19" t="s">
        <v>34</v>
      </c>
      <c r="I19">
        <f t="shared" si="0"/>
        <v>3</v>
      </c>
      <c r="J19" s="3" cm="1">
        <f t="array" ref="J19">AVERAGE(IF(M19:Q19&lt;&gt;"",1-(M19:Q19-1)/(M$6:Q$6-1)))</f>
        <v>0.27513227513227517</v>
      </c>
      <c r="K19" s="3"/>
      <c r="O19">
        <v>9</v>
      </c>
      <c r="P19">
        <v>7</v>
      </c>
      <c r="Q19">
        <v>4</v>
      </c>
    </row>
    <row r="20" spans="8:17" x14ac:dyDescent="0.25">
      <c r="H20" t="s">
        <v>30</v>
      </c>
      <c r="I20">
        <f t="shared" si="0"/>
        <v>1</v>
      </c>
      <c r="J20" s="3" cm="1">
        <f t="array" ref="J20">AVERAGE(IF(M20:Q20&lt;&gt;"",1-(M20:Q20-1)/(M$6:Q$6-1)))</f>
        <v>0.8</v>
      </c>
      <c r="K20" s="3"/>
      <c r="M20">
        <v>2</v>
      </c>
    </row>
    <row r="21" spans="8:17" x14ac:dyDescent="0.25">
      <c r="H21" t="s">
        <v>14</v>
      </c>
      <c r="I21">
        <f t="shared" si="0"/>
        <v>4</v>
      </c>
      <c r="J21" s="3" cm="1">
        <f t="array" ref="J21">AVERAGE(IF(M21:Q21&lt;&gt;"",1-(M21:Q21-1)/(M$6:Q$6-1)))</f>
        <v>0.64365079365079358</v>
      </c>
      <c r="K21" s="3"/>
      <c r="N21">
        <v>4</v>
      </c>
      <c r="O21">
        <v>2</v>
      </c>
      <c r="P21">
        <v>4</v>
      </c>
      <c r="Q21">
        <v>3</v>
      </c>
    </row>
    <row r="22" spans="8:17" x14ac:dyDescent="0.25">
      <c r="H22" t="s">
        <v>12</v>
      </c>
      <c r="I22">
        <f t="shared" si="0"/>
        <v>3</v>
      </c>
      <c r="J22" s="3" cm="1">
        <f t="array" ref="J22">AVERAGE(IF(M22:Q22&lt;&gt;"",1-(M22:Q22-1)/(M$6:Q$6-1)))</f>
        <v>0.37142857142857144</v>
      </c>
      <c r="K22" s="3"/>
      <c r="M22">
        <v>4</v>
      </c>
      <c r="P22">
        <v>4</v>
      </c>
      <c r="Q22">
        <v>7</v>
      </c>
    </row>
    <row r="23" spans="8:17" x14ac:dyDescent="0.25">
      <c r="H23" t="s">
        <v>8</v>
      </c>
      <c r="I23">
        <f t="shared" si="0"/>
        <v>1</v>
      </c>
      <c r="J23" s="3" cm="1">
        <f t="array" ref="J23">AVERAGE(IF(M23:Q23&lt;&gt;"",1-(M23:Q23-1)/(M$6:Q$6-1)))</f>
        <v>0.8</v>
      </c>
      <c r="K23" s="3"/>
      <c r="N23">
        <v>2</v>
      </c>
    </row>
    <row r="24" spans="8:17" x14ac:dyDescent="0.25">
      <c r="H24" t="s">
        <v>33</v>
      </c>
      <c r="I24">
        <f t="shared" si="0"/>
        <v>1</v>
      </c>
      <c r="J24" s="3" cm="1">
        <f t="array" ref="J24">AVERAGE(IF(M24:Q24&lt;&gt;"",1-(M24:Q24-1)/(M$6:Q$6-1)))</f>
        <v>0.77777777777777779</v>
      </c>
      <c r="K24" s="3"/>
      <c r="O24">
        <v>3</v>
      </c>
    </row>
    <row r="25" spans="8:17" x14ac:dyDescent="0.25">
      <c r="H25" t="s">
        <v>9</v>
      </c>
      <c r="I25">
        <f t="shared" si="0"/>
        <v>1</v>
      </c>
      <c r="J25" s="3" cm="1">
        <f t="array" ref="J25">AVERAGE(IF(M25:Q25&lt;&gt;"",1-(M25:Q25-1)/(M$6:Q$6-1)))</f>
        <v>0</v>
      </c>
      <c r="K25" s="3"/>
      <c r="M25">
        <v>6</v>
      </c>
    </row>
    <row r="26" spans="8:17" x14ac:dyDescent="0.25">
      <c r="H26" t="s">
        <v>26</v>
      </c>
      <c r="I26">
        <f t="shared" si="0"/>
        <v>1</v>
      </c>
      <c r="J26" s="3" cm="1">
        <f t="array" ref="J26">AVERAGE(IF(M26:Q26&lt;&gt;"",1-(M26:Q26-1)/(M$6:Q$6-1)))</f>
        <v>0</v>
      </c>
      <c r="K26" s="3"/>
      <c r="P26">
        <v>8</v>
      </c>
    </row>
    <row r="27" spans="8:17" x14ac:dyDescent="0.25">
      <c r="H27" t="s">
        <v>37</v>
      </c>
      <c r="I27">
        <f t="shared" si="0"/>
        <v>1</v>
      </c>
      <c r="J27" s="3" cm="1">
        <f t="array" ref="J27">AVERAGE(IF(M27:Q27&lt;&gt;"",1-(M27:Q27-1)/(M$6:Q$6-1)))</f>
        <v>0</v>
      </c>
      <c r="K27" s="3"/>
      <c r="Q27">
        <v>8</v>
      </c>
    </row>
    <row r="28" spans="8:17" x14ac:dyDescent="0.25">
      <c r="H28" t="s">
        <v>18</v>
      </c>
      <c r="I28">
        <f t="shared" si="0"/>
        <v>4</v>
      </c>
      <c r="J28" s="3" cm="1">
        <f t="array" ref="J28">AVERAGE(IF(M28:Q28&lt;&gt;"",1-(M28:Q28-1)/(M$6:Q$6-1)))</f>
        <v>0.93650793650793651</v>
      </c>
      <c r="K28" s="3"/>
      <c r="M28">
        <v>1</v>
      </c>
      <c r="N28">
        <v>1</v>
      </c>
      <c r="O28">
        <v>2</v>
      </c>
      <c r="Q28">
        <v>2</v>
      </c>
    </row>
    <row r="29" spans="8:17" x14ac:dyDescent="0.25">
      <c r="H29" t="s">
        <v>19</v>
      </c>
      <c r="I29">
        <f t="shared" si="0"/>
        <v>1</v>
      </c>
      <c r="J29" s="3" cm="1">
        <f t="array" ref="J29">AVERAGE(IF(M29:Q29&lt;&gt;"",1-(M29:Q29-1)/(M$6:Q$6-1)))</f>
        <v>0.19999999999999996</v>
      </c>
      <c r="K29" s="3"/>
      <c r="M29">
        <v>5</v>
      </c>
    </row>
    <row r="30" spans="8:17" x14ac:dyDescent="0.25">
      <c r="H30" t="s">
        <v>10</v>
      </c>
      <c r="I30">
        <f t="shared" si="0"/>
        <v>2</v>
      </c>
      <c r="J30" s="3" cm="1">
        <f t="array" ref="J30">AVERAGE(IF(M30:Q30&lt;&gt;"",1-(M30:Q30-1)/(M$6:Q$6-1)))</f>
        <v>0.3</v>
      </c>
      <c r="K30" s="3"/>
      <c r="M30">
        <v>6</v>
      </c>
      <c r="N30">
        <v>3</v>
      </c>
    </row>
    <row r="31" spans="8:17" x14ac:dyDescent="0.25">
      <c r="H31" t="s">
        <v>4</v>
      </c>
      <c r="I31">
        <f t="shared" si="0"/>
        <v>5</v>
      </c>
      <c r="J31" s="3" cm="1">
        <f t="array" ref="J31">AVERAGE(IF(M31:Q31&lt;&gt;"",1-(M31:Q31-1)/(M$6:Q$6-1)))</f>
        <v>0.44952380952380955</v>
      </c>
      <c r="K31" s="3"/>
      <c r="M31">
        <v>5</v>
      </c>
      <c r="N31">
        <v>1</v>
      </c>
      <c r="O31">
        <v>7</v>
      </c>
      <c r="P31">
        <v>5</v>
      </c>
      <c r="Q31">
        <v>6</v>
      </c>
    </row>
    <row r="32" spans="8:17" x14ac:dyDescent="0.25">
      <c r="H32" t="s">
        <v>25</v>
      </c>
      <c r="I32">
        <f t="shared" si="0"/>
        <v>2</v>
      </c>
      <c r="J32" s="3" cm="1">
        <f t="array" ref="J32">AVERAGE(IF(M32:Q32&lt;&gt;"",1-(M32:Q32-1)/(M$6:Q$6-1)))</f>
        <v>0.53968253968253976</v>
      </c>
      <c r="K32" s="3"/>
      <c r="O32">
        <v>8</v>
      </c>
      <c r="Q32">
        <v>2</v>
      </c>
    </row>
    <row r="33" spans="8:17" x14ac:dyDescent="0.25">
      <c r="H33" t="s">
        <v>16</v>
      </c>
      <c r="I33">
        <f t="shared" si="0"/>
        <v>2</v>
      </c>
      <c r="J33" s="3" cm="1">
        <f t="array" ref="J33">AVERAGE(IF(M33:Q33&lt;&gt;"",1-(M33:Q33-1)/(M$6:Q$6-1)))</f>
        <v>0.5714285714285714</v>
      </c>
      <c r="K33" s="3"/>
      <c r="P33">
        <v>3</v>
      </c>
      <c r="Q33">
        <v>5</v>
      </c>
    </row>
    <row r="34" spans="8:17" x14ac:dyDescent="0.25">
      <c r="H34" t="s">
        <v>31</v>
      </c>
      <c r="I34">
        <f t="shared" si="0"/>
        <v>1</v>
      </c>
      <c r="J34" s="3" cm="1">
        <f t="array" ref="J34">AVERAGE(IF(M34:Q34&lt;&gt;"",1-(M34:Q34-1)/(M$6:Q$6-1)))</f>
        <v>0.77777777777777779</v>
      </c>
      <c r="K34" s="3"/>
      <c r="O34">
        <v>3</v>
      </c>
    </row>
    <row r="35" spans="8:17" x14ac:dyDescent="0.25">
      <c r="H35" t="s">
        <v>21</v>
      </c>
      <c r="I35">
        <f t="shared" si="0"/>
        <v>1</v>
      </c>
      <c r="J35" s="3" cm="1">
        <f t="array" ref="J35">AVERAGE(IF(M35:Q35&lt;&gt;"",1-(M35:Q35-1)/(M$6:Q$6-1)))</f>
        <v>0.4285714285714286</v>
      </c>
      <c r="K35" s="3"/>
      <c r="Q35">
        <v>5</v>
      </c>
    </row>
    <row r="36" spans="8:17" x14ac:dyDescent="0.25">
      <c r="H36" t="s">
        <v>7</v>
      </c>
      <c r="I36">
        <f t="shared" si="0"/>
        <v>2</v>
      </c>
      <c r="J36" s="3" cm="1">
        <f t="array" ref="J36">AVERAGE(IF(M36:Q36&lt;&gt;"",1-(M36:Q36-1)/(M$6:Q$6-1)))</f>
        <v>0.7</v>
      </c>
      <c r="K36" s="3"/>
      <c r="M36">
        <v>2</v>
      </c>
      <c r="N36">
        <v>3</v>
      </c>
    </row>
    <row r="37" spans="8:17" x14ac:dyDescent="0.25">
      <c r="H37" t="s">
        <v>27</v>
      </c>
      <c r="I37">
        <f t="shared" si="0"/>
        <v>2</v>
      </c>
      <c r="J37" s="3" cm="1">
        <f t="array" ref="J37">AVERAGE(IF(M37:Q37&lt;&gt;"",1-(M37:Q37-1)/(M$6:Q$6-1)))</f>
        <v>0.35714285714285715</v>
      </c>
      <c r="K37" s="3"/>
      <c r="P37">
        <v>8</v>
      </c>
      <c r="Q37">
        <v>3</v>
      </c>
    </row>
    <row r="38" spans="8:17" x14ac:dyDescent="0.25">
      <c r="H38" t="s">
        <v>2</v>
      </c>
      <c r="I38">
        <f t="shared" si="0"/>
        <v>4</v>
      </c>
      <c r="J38" s="3" cm="1">
        <f t="array" ref="J38">AVERAGE(IF(M38:Q38&lt;&gt;"",1-(M38:Q38-1)/(M$6:Q$6-1)))</f>
        <v>0.33253968253968247</v>
      </c>
      <c r="K38" s="3"/>
      <c r="M38">
        <v>3</v>
      </c>
      <c r="O38">
        <v>6</v>
      </c>
      <c r="P38">
        <v>7</v>
      </c>
      <c r="Q38">
        <v>7</v>
      </c>
    </row>
    <row r="39" spans="8:17" x14ac:dyDescent="0.25">
      <c r="H39" t="s">
        <v>28</v>
      </c>
      <c r="I39">
        <f t="shared" si="0"/>
        <v>2</v>
      </c>
      <c r="J39" s="3" cm="1">
        <f t="array" ref="J39">AVERAGE(IF(M39:Q39&lt;&gt;"",1-(M39:Q39-1)/(M$6:Q$6-1)))</f>
        <v>0.5714285714285714</v>
      </c>
      <c r="K39" s="3"/>
      <c r="P39">
        <v>2</v>
      </c>
      <c r="Q39">
        <v>6</v>
      </c>
    </row>
    <row r="40" spans="8:17" x14ac:dyDescent="0.25">
      <c r="H40" t="s">
        <v>6</v>
      </c>
      <c r="I40">
        <f t="shared" si="0"/>
        <v>2</v>
      </c>
      <c r="J40" s="3" cm="1">
        <f t="array" ref="J40">AVERAGE(IF(M40:Q40&lt;&gt;"",1-(M40:Q40-1)/(M$6:Q$6-1)))</f>
        <v>0.5</v>
      </c>
      <c r="K40" s="3"/>
      <c r="O40">
        <v>10</v>
      </c>
      <c r="Q40">
        <v>1</v>
      </c>
    </row>
    <row r="41" spans="8:17" x14ac:dyDescent="0.25">
      <c r="H41" t="s">
        <v>23</v>
      </c>
      <c r="I41">
        <f t="shared" si="0"/>
        <v>1</v>
      </c>
      <c r="J41" s="3" cm="1">
        <f t="array" ref="J41">AVERAGE(IF(M41:Q41&lt;&gt;"",1-(M41:Q41-1)/(M$6:Q$6-1)))</f>
        <v>0.66666666666666674</v>
      </c>
      <c r="K41" s="3"/>
      <c r="O41">
        <v>4</v>
      </c>
    </row>
    <row r="42" spans="8:17" x14ac:dyDescent="0.25">
      <c r="H42" t="s">
        <v>20</v>
      </c>
      <c r="I42">
        <f t="shared" si="0"/>
        <v>1</v>
      </c>
      <c r="J42" s="3" cm="1">
        <f t="array" ref="J42">AVERAGE(IF(M42:Q42&lt;&gt;"",1-(M42:Q42-1)/(M$6:Q$6-1)))</f>
        <v>0.6</v>
      </c>
      <c r="K42" s="3"/>
      <c r="M42">
        <v>3</v>
      </c>
    </row>
  </sheetData>
  <sortState xmlns:xlrd2="http://schemas.microsoft.com/office/spreadsheetml/2017/richdata2" ref="H7:H42">
    <sortCondition ref="H42"/>
  </sortState>
  <conditionalFormatting sqref="J7:K4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7:I4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Jaroslav Pilný | JIC</dc:creator>
  <cp:lastModifiedBy>Jaroslav Pilný | JIC</cp:lastModifiedBy>
  <dcterms:created xsi:type="dcterms:W3CDTF">2015-06-05T18:19:34Z</dcterms:created>
  <dcterms:modified xsi:type="dcterms:W3CDTF">2026-03-01T22:51:00Z</dcterms:modified>
</cp:coreProperties>
</file>